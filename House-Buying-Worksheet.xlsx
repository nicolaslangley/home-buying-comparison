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ttle House Buying Comparison" sheetId="1" r:id="rId5"/>
    <sheet state="visible" name="BC House Buying Comparison" sheetId="2" r:id="rId6"/>
    <sheet state="visible" name="Oregon House Buying Comparison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Consider mortgage principal as part of target savings percentage</t>
      </text>
    </comment>
    <comment authorId="0" ref="B9">
      <text>
        <t xml:space="preserve">401k + this = Savings Percentage</t>
      </text>
    </comment>
    <comment authorId="0" ref="B14">
      <text>
        <t xml:space="preserve">https://www.redfin.com/WA/Seattle/3814-NE-89th-St-98115/home/317061</t>
      </text>
    </comment>
    <comment authorId="0" ref="G14">
      <text>
        <t xml:space="preserve">https://www.redfin.com/WA/Seattle/6546-32nd-Ave-NE-98115/unit-A/home/194816448</t>
      </text>
    </comment>
    <comment authorId="0" ref="M14">
      <text>
        <t xml:space="preserve">https://www.redfin.com/WA/Seattle/4222-Meridian-Ave-N-98103/home/117467</t>
      </text>
    </comment>
    <comment authorId="0" ref="C28">
      <text>
        <t xml:space="preserve">Average over first 5 years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Consider mortgage principal as part of target savings percentage</t>
      </text>
    </comment>
    <comment authorId="0" ref="B14">
      <text>
        <t xml:space="preserve">https://www.realtor.ca/real-estate/28406692/2-4748-argyle-street-vancouver</t>
      </text>
    </comment>
    <comment authorId="0" ref="C28">
      <text>
        <t xml:space="preserve">Average over first 5 years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Consider mortgage principal as part of target savings percentage</t>
      </text>
    </comment>
    <comment authorId="0" ref="B10">
      <text>
        <t xml:space="preserve">401k + this = Savings Percentage</t>
      </text>
    </comment>
    <comment authorId="0" ref="B14">
      <text>
        <t xml:space="preserve">https://www.redfin.com/OR/Bend/1760-NW-12th-St-97703/home/112268109</t>
      </text>
    </comment>
    <comment authorId="0" ref="C28">
      <text>
        <t xml:space="preserve">Average over first 5 years</t>
      </text>
    </comment>
  </commentList>
</comments>
</file>

<file path=xl/sharedStrings.xml><?xml version="1.0" encoding="utf-8"?>
<sst xmlns="http://schemas.openxmlformats.org/spreadsheetml/2006/main" count="147" uniqueCount="49">
  <si>
    <t>Household</t>
  </si>
  <si>
    <t>Monthly</t>
  </si>
  <si>
    <t>Target Savings Percentage (Gross)</t>
  </si>
  <si>
    <t>Gross Salary</t>
  </si>
  <si>
    <t>Target Housing Percentage (Gross)</t>
  </si>
  <si>
    <t>401k Contribution</t>
  </si>
  <si>
    <t>Target Leftover Spending</t>
  </si>
  <si>
    <t>Taxable Income</t>
  </si>
  <si>
    <t>Include Principal in Savings</t>
  </si>
  <si>
    <t>Taxes</t>
  </si>
  <si>
    <t>Net Salary</t>
  </si>
  <si>
    <t>Savings Target</t>
  </si>
  <si>
    <t>North Wedgwood Standalone</t>
  </si>
  <si>
    <t>4-bed townhouse off 65th</t>
  </si>
  <si>
    <t>4222 Meridian Ave N</t>
  </si>
  <si>
    <t>Amount</t>
  </si>
  <si>
    <t>Percentage of Purchase</t>
  </si>
  <si>
    <t>Cost</t>
  </si>
  <si>
    <t>N &amp; A Down</t>
  </si>
  <si>
    <t>M Down</t>
  </si>
  <si>
    <t>Loan Amount</t>
  </si>
  <si>
    <t>Interest Rate</t>
  </si>
  <si>
    <t>Duration (Months)</t>
  </si>
  <si>
    <t>Monthly P &amp; I</t>
  </si>
  <si>
    <t>Monthly Taxes</t>
  </si>
  <si>
    <t>Monthly Insurance</t>
  </si>
  <si>
    <t>HOA</t>
  </si>
  <si>
    <t>Monthly Principal</t>
  </si>
  <si>
    <t>Total Monthly</t>
  </si>
  <si>
    <t>Percentage of Gross</t>
  </si>
  <si>
    <t>Percentage of Net</t>
  </si>
  <si>
    <t>Remaining Income</t>
  </si>
  <si>
    <t>Annual Home Maintenance</t>
  </si>
  <si>
    <t>Fixed Monthly Expenses</t>
  </si>
  <si>
    <t>Childcare Costs</t>
  </si>
  <si>
    <t>Percentage on Fixed</t>
  </si>
  <si>
    <t>Remaining Discretionary Income</t>
  </si>
  <si>
    <t>Nic Gross Salary</t>
  </si>
  <si>
    <t>Alexis Gross Salary</t>
  </si>
  <si>
    <t>Nic RRSP Contribution</t>
  </si>
  <si>
    <t>Alexis RRSP Contribution</t>
  </si>
  <si>
    <t>USD to CAD Conversion</t>
  </si>
  <si>
    <t>Combined Net Salary</t>
  </si>
  <si>
    <t>2 4748 Argyle Street</t>
  </si>
  <si>
    <t>N &amp; A Down (USD)</t>
  </si>
  <si>
    <t>M Down (USD)</t>
  </si>
  <si>
    <t>Oregon Taxes</t>
  </si>
  <si>
    <t>Federal Taxes</t>
  </si>
  <si>
    <t>1760 NW 12th St, Bend, 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</si>
</sst>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0.000%"/>
  </numFmts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color rgb="FF131313"/>
      <name val="Inherit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EFEFE"/>
        <bgColor rgb="FFFEFEFE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horizontal="right" readingOrder="0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left" readingOrder="0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readingOrder="0"/>
    </xf>
    <xf borderId="0" fillId="0" fontId="2" numFmtId="164" xfId="0" applyFont="1" applyNumberForma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2" fontId="4" numFmtId="0" xfId="0" applyAlignment="1" applyFill="1" applyFont="1">
      <alignment readingOrder="0"/>
    </xf>
    <xf borderId="0" fillId="2" fontId="4" numFmtId="0" xfId="0" applyFont="1"/>
    <xf borderId="0" fillId="0" fontId="5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0" fontId="2" numFmtId="10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Font="1"/>
    <xf borderId="0" fillId="0" fontId="2" numFmtId="164" xfId="0" applyFont="1" applyNumberFormat="1"/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2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9.75"/>
    <col customWidth="1" min="5" max="5" width="18.38"/>
    <col customWidth="1" min="6" max="6" width="27.13"/>
    <col customWidth="1" min="7" max="7" width="14.0"/>
    <col customWidth="1" min="8" max="8" width="15.88"/>
    <col customWidth="1" min="13" max="13" width="13.88"/>
    <col customWidth="1" min="14" max="14" width="15.88"/>
    <col customWidth="1" min="20" max="20" width="16.25"/>
  </cols>
  <sheetData>
    <row r="3">
      <c r="B3" s="1"/>
      <c r="C3" s="1" t="s">
        <v>0</v>
      </c>
      <c r="D3" s="1" t="s">
        <v>1</v>
      </c>
      <c r="E3" s="1"/>
      <c r="F3" s="2" t="s">
        <v>2</v>
      </c>
      <c r="G3" s="3">
        <f>0.25</f>
        <v>0.25</v>
      </c>
    </row>
    <row r="4">
      <c r="B4" s="4" t="s">
        <v>3</v>
      </c>
      <c r="C4" s="5">
        <v>337000.0</v>
      </c>
      <c r="D4" s="6">
        <f>C4/12</f>
        <v>28083.33333</v>
      </c>
      <c r="E4" s="6"/>
      <c r="F4" s="7" t="s">
        <v>4</v>
      </c>
      <c r="G4" s="3">
        <v>0.3</v>
      </c>
    </row>
    <row r="5">
      <c r="B5" s="8" t="s">
        <v>5</v>
      </c>
      <c r="C5" s="9">
        <f>47000</f>
        <v>47000</v>
      </c>
      <c r="D5" s="9"/>
      <c r="E5" s="6"/>
      <c r="F5" s="10" t="s">
        <v>6</v>
      </c>
      <c r="G5" s="11">
        <v>9000.0</v>
      </c>
    </row>
    <row r="6">
      <c r="B6" s="2" t="s">
        <v>7</v>
      </c>
      <c r="C6" s="12">
        <f>C4-C5-27700</f>
        <v>262300</v>
      </c>
      <c r="F6" s="2" t="s">
        <v>8</v>
      </c>
      <c r="G6" s="13" t="b">
        <v>0</v>
      </c>
    </row>
    <row r="7">
      <c r="B7" s="8" t="s">
        <v>9</v>
      </c>
      <c r="C7" s="9">
        <f>(IF(C6 &lt;= 22000, C6*0.1,
 IF(C6 &lt;= 89450, 22000*0.1 + (C6-22000)*0.12,
 IF(C6 &lt;= 190750, 22000*0.1 + (89450-22000)*0.12 + (C6-89450)*0.22,
 IF(C6 &lt;= 364200, 22000*0.1 + (89450-22000)*0.12 + (190750-89450)*0.22 + (C6-190750)*0.24,
 IF(C6 &lt;= 462500, 22000*0.1 + (89450-22000)*0.12 + (190750-89450)*0.22 + (364200-190750)*0.24 + (C6-364200)*0.32,
 IF(C6 &lt;= 693750, 22000*0.1 + (89450-22000)*0.12 + (190750-89450)*0.22 + (364200-190750)*0.24 + (462500-364200)*0.32 + (C6-462500)*0.35,
 22000*0.1 + (89450-22000)*0.12 + (190750-89450)*0.22 + (364200-190750)*0.24 + (462500-364200)*0.32 + (693750-462500)*0.35 + (C6-693750)*0.37))))))) + MIN(C6, 160200)*0.062 + C6*0.0145 + IF(C6 &gt; 250000, (C6-250000)*0.009, 0)</f>
        <v>63598.45</v>
      </c>
      <c r="D7" s="9"/>
      <c r="E7" s="6"/>
      <c r="F7" s="1"/>
    </row>
    <row r="8">
      <c r="B8" s="14" t="s">
        <v>10</v>
      </c>
      <c r="C8" s="9">
        <f>C4-C5-C7</f>
        <v>226401.55</v>
      </c>
      <c r="D8" s="9">
        <f t="shared" ref="D8:D9" si="1">C8/12</f>
        <v>18866.79583</v>
      </c>
      <c r="E8" s="6"/>
      <c r="F8" s="6"/>
    </row>
    <row r="9">
      <c r="B9" s="2" t="s">
        <v>11</v>
      </c>
      <c r="C9" s="12">
        <f>(C4*G3) - C5</f>
        <v>37250</v>
      </c>
      <c r="D9" s="12">
        <f t="shared" si="1"/>
        <v>3104.166667</v>
      </c>
    </row>
    <row r="10">
      <c r="B10" s="2"/>
    </row>
    <row r="14">
      <c r="B14" s="2" t="s">
        <v>12</v>
      </c>
      <c r="G14" s="2" t="s">
        <v>13</v>
      </c>
      <c r="M14" s="15" t="s">
        <v>14</v>
      </c>
    </row>
    <row r="15">
      <c r="D15" s="2" t="s">
        <v>15</v>
      </c>
      <c r="E15" s="2" t="s">
        <v>16</v>
      </c>
      <c r="I15" s="2" t="s">
        <v>15</v>
      </c>
      <c r="J15" s="2" t="s">
        <v>16</v>
      </c>
      <c r="M15" s="16"/>
      <c r="O15" s="2" t="s">
        <v>15</v>
      </c>
      <c r="P15" s="2" t="s">
        <v>16</v>
      </c>
    </row>
    <row r="16">
      <c r="C16" s="17" t="s">
        <v>17</v>
      </c>
      <c r="D16" s="18">
        <v>1100000.0</v>
      </c>
      <c r="H16" s="17" t="s">
        <v>17</v>
      </c>
      <c r="I16" s="18">
        <v>1075000.0</v>
      </c>
      <c r="N16" s="17" t="s">
        <v>17</v>
      </c>
      <c r="O16" s="18">
        <v>1399000.0</v>
      </c>
    </row>
    <row r="17">
      <c r="C17" s="2" t="s">
        <v>18</v>
      </c>
      <c r="D17" s="18">
        <v>300000.0</v>
      </c>
      <c r="E17" s="19">
        <f>D17/D16</f>
        <v>0.2727272727</v>
      </c>
      <c r="H17" s="2" t="s">
        <v>18</v>
      </c>
      <c r="I17" s="18">
        <v>300000.0</v>
      </c>
      <c r="J17" s="19">
        <f>I17/I16</f>
        <v>0.2790697674</v>
      </c>
      <c r="N17" s="2" t="s">
        <v>18</v>
      </c>
      <c r="O17" s="18">
        <v>450000.0</v>
      </c>
      <c r="P17" s="19">
        <f>O17/O16</f>
        <v>0.3216583274</v>
      </c>
      <c r="T17" s="17"/>
      <c r="U17" s="18"/>
    </row>
    <row r="18">
      <c r="C18" s="2" t="s">
        <v>19</v>
      </c>
      <c r="D18" s="18">
        <v>0.0</v>
      </c>
      <c r="E18" s="19">
        <f>D18/D16</f>
        <v>0</v>
      </c>
      <c r="H18" s="2" t="s">
        <v>19</v>
      </c>
      <c r="I18" s="18">
        <v>0.0</v>
      </c>
      <c r="J18" s="19">
        <f>I18/I16</f>
        <v>0</v>
      </c>
      <c r="N18" s="2" t="s">
        <v>19</v>
      </c>
      <c r="O18" s="18">
        <v>0.0</v>
      </c>
      <c r="P18" s="19">
        <f>O18/O16</f>
        <v>0</v>
      </c>
      <c r="U18" s="18"/>
      <c r="V18" s="19"/>
    </row>
    <row r="19">
      <c r="U19" s="18"/>
      <c r="V19" s="19"/>
    </row>
    <row r="20">
      <c r="C20" s="2" t="s">
        <v>20</v>
      </c>
      <c r="D20" s="12">
        <f>D16-D17-D18</f>
        <v>800000</v>
      </c>
      <c r="H20" s="2" t="s">
        <v>20</v>
      </c>
      <c r="I20" s="12">
        <f>I16-I17-I18</f>
        <v>775000</v>
      </c>
      <c r="N20" s="2" t="s">
        <v>20</v>
      </c>
      <c r="O20" s="12">
        <f>O16-O17-O18</f>
        <v>949000</v>
      </c>
    </row>
    <row r="21">
      <c r="C21" s="17" t="s">
        <v>21</v>
      </c>
      <c r="D21" s="20">
        <v>0.0575</v>
      </c>
      <c r="H21" s="17" t="s">
        <v>21</v>
      </c>
      <c r="I21" s="21">
        <v>0.0575</v>
      </c>
      <c r="N21" s="17" t="s">
        <v>21</v>
      </c>
      <c r="O21" s="20">
        <v>0.06</v>
      </c>
    </row>
    <row r="22">
      <c r="C22" s="2" t="s">
        <v>22</v>
      </c>
      <c r="D22" s="22">
        <f>30 * 12</f>
        <v>360</v>
      </c>
      <c r="H22" s="2" t="s">
        <v>22</v>
      </c>
      <c r="I22" s="22">
        <f>30 * 12</f>
        <v>360</v>
      </c>
      <c r="N22" s="2" t="s">
        <v>22</v>
      </c>
      <c r="O22" s="22">
        <f>30 * 12</f>
        <v>360</v>
      </c>
      <c r="T22" s="17"/>
      <c r="U22" s="21"/>
    </row>
    <row r="24">
      <c r="C24" s="2" t="s">
        <v>23</v>
      </c>
      <c r="D24" s="23">
        <f>PMT(D21/12, 25*12, -D20)</f>
        <v>5032.851219</v>
      </c>
      <c r="H24" s="2" t="s">
        <v>23</v>
      </c>
      <c r="I24" s="23">
        <f>PMT(I21/12, 30*12, -I20)</f>
        <v>4522.689637</v>
      </c>
      <c r="N24" s="2" t="s">
        <v>23</v>
      </c>
      <c r="O24" s="23">
        <f>PMT(O21/12, O22, -O20)</f>
        <v>5689.734484</v>
      </c>
    </row>
    <row r="25">
      <c r="C25" s="2" t="s">
        <v>24</v>
      </c>
      <c r="D25" s="18">
        <v>820.0</v>
      </c>
      <c r="H25" s="2" t="s">
        <v>24</v>
      </c>
      <c r="I25" s="18">
        <v>1419.0</v>
      </c>
      <c r="N25" s="2" t="s">
        <v>24</v>
      </c>
      <c r="O25" s="18">
        <v>864.0</v>
      </c>
    </row>
    <row r="26">
      <c r="C26" s="2" t="s">
        <v>25</v>
      </c>
      <c r="D26" s="18">
        <v>119.0</v>
      </c>
      <c r="H26" s="2" t="s">
        <v>25</v>
      </c>
      <c r="I26" s="18">
        <v>116.0</v>
      </c>
      <c r="N26" s="2" t="s">
        <v>25</v>
      </c>
      <c r="O26" s="18">
        <v>385.0</v>
      </c>
      <c r="U26" s="18"/>
    </row>
    <row r="27">
      <c r="C27" s="2" t="s">
        <v>26</v>
      </c>
      <c r="D27" s="18">
        <v>0.0</v>
      </c>
      <c r="H27" s="2" t="s">
        <v>26</v>
      </c>
      <c r="I27" s="18">
        <v>575.0</v>
      </c>
      <c r="N27" s="2" t="s">
        <v>26</v>
      </c>
      <c r="O27" s="18">
        <v>0.0</v>
      </c>
      <c r="U27" s="18"/>
    </row>
    <row r="28">
      <c r="C28" s="2" t="s">
        <v>27</v>
      </c>
      <c r="D28" s="23">
        <f t="array" ref="D28">SUM(PPMT(D21/12, SEQUENCE(60, 1, 1, 1), D22, -D20))/60</f>
        <v>965.0417545</v>
      </c>
      <c r="H28" s="2" t="s">
        <v>27</v>
      </c>
      <c r="I28" s="23">
        <f t="array" ref="I28">SUM(PPMT(I21/12, SEQUENCE(60, 1, 1, 1), I22, -I20))/60</f>
        <v>934.8841997</v>
      </c>
      <c r="N28" s="2" t="s">
        <v>27</v>
      </c>
      <c r="O28" s="23">
        <f t="array" ref="O28">SUM(PPMT(O21/12, SEQUENCE(60, 1, 1, 1), O22, -O20))/60</f>
        <v>1098.569229</v>
      </c>
    </row>
    <row r="30">
      <c r="C30" s="17" t="s">
        <v>28</v>
      </c>
      <c r="D30" s="23">
        <f>SUM(D24:D27)</f>
        <v>5971.851219</v>
      </c>
      <c r="H30" s="17" t="s">
        <v>28</v>
      </c>
      <c r="I30" s="23">
        <f>SUM(I24:I27)</f>
        <v>6632.689637</v>
      </c>
      <c r="N30" s="17" t="s">
        <v>28</v>
      </c>
      <c r="O30" s="23">
        <f>SUM(O24:O27)</f>
        <v>6938.734484</v>
      </c>
    </row>
    <row r="31">
      <c r="B31" s="2"/>
      <c r="C31" s="2" t="s">
        <v>29</v>
      </c>
      <c r="D31" s="19">
        <f>D30/D4</f>
        <v>0.2126475212</v>
      </c>
      <c r="H31" s="2" t="s">
        <v>29</v>
      </c>
      <c r="I31" s="19">
        <f>I30/D4</f>
        <v>0.2361788595</v>
      </c>
      <c r="N31" s="2" t="s">
        <v>29</v>
      </c>
      <c r="O31" s="19">
        <f>O30/D4</f>
        <v>0.2470765988</v>
      </c>
      <c r="T31" s="17"/>
    </row>
    <row r="32">
      <c r="C32" s="2" t="s">
        <v>30</v>
      </c>
      <c r="D32" s="19">
        <f>D30/D8</f>
        <v>0.3165270495</v>
      </c>
      <c r="H32" s="2" t="s">
        <v>30</v>
      </c>
      <c r="I32" s="19">
        <f>I30/D8</f>
        <v>0.351553581</v>
      </c>
      <c r="N32" s="2" t="s">
        <v>30</v>
      </c>
      <c r="O32" s="19">
        <f>O30/D8</f>
        <v>0.3677749282</v>
      </c>
      <c r="U32" s="19"/>
    </row>
    <row r="33">
      <c r="U33" s="19"/>
    </row>
    <row r="34">
      <c r="C34" s="2" t="s">
        <v>31</v>
      </c>
      <c r="D34" s="12">
        <f>D8-D30-IF(G6 = TRUE , D9 - D28, D9)</f>
        <v>9790.777947</v>
      </c>
      <c r="H34" s="2" t="s">
        <v>31</v>
      </c>
      <c r="I34" s="12">
        <f>D8-I30-IF(G6 = TRUE , D9 - I28, D9)</f>
        <v>9129.939529</v>
      </c>
      <c r="N34" s="2" t="s">
        <v>31</v>
      </c>
      <c r="O34" s="12">
        <f>D8-O30-IF(G6 = TRUE , D9 - O28, D9)</f>
        <v>8823.894683</v>
      </c>
    </row>
    <row r="36">
      <c r="D36" s="18"/>
    </row>
    <row r="37">
      <c r="C37" s="2" t="s">
        <v>32</v>
      </c>
      <c r="D37" s="12">
        <f>D16*0.005</f>
        <v>5500</v>
      </c>
      <c r="H37" s="2" t="s">
        <v>32</v>
      </c>
      <c r="I37" s="12">
        <f>I16*0.005</f>
        <v>5375</v>
      </c>
    </row>
    <row r="38">
      <c r="C38" s="2" t="s">
        <v>33</v>
      </c>
      <c r="D38" s="18">
        <v>600.0</v>
      </c>
      <c r="H38" s="2" t="s">
        <v>33</v>
      </c>
      <c r="I38" s="18">
        <v>600.0</v>
      </c>
    </row>
    <row r="39">
      <c r="C39" s="2" t="s">
        <v>34</v>
      </c>
      <c r="D39" s="18">
        <v>3300.0</v>
      </c>
      <c r="H39" s="2" t="s">
        <v>34</v>
      </c>
      <c r="I39" s="18">
        <v>3300.0</v>
      </c>
    </row>
    <row r="40">
      <c r="E40" s="19"/>
      <c r="J40" s="19"/>
    </row>
    <row r="41">
      <c r="C41" s="2" t="s">
        <v>35</v>
      </c>
      <c r="D41" s="19">
        <f>(D38+D39+(D37/12) + D30 + IF(G6 = TRUE , D9 - D28, D9)) / D8</f>
        <v>0.7120632108</v>
      </c>
      <c r="E41" s="19"/>
      <c r="H41" s="2" t="s">
        <v>35</v>
      </c>
      <c r="I41" s="19">
        <f>(I38+I39+(I37/12) + I30 + D9) / D8</f>
        <v>0.746537626</v>
      </c>
      <c r="J41" s="19"/>
    </row>
    <row r="42">
      <c r="C42" s="2" t="s">
        <v>36</v>
      </c>
      <c r="D42" s="12">
        <f>D8*(1 - D41)</f>
        <v>5432.444614</v>
      </c>
      <c r="H42" s="2" t="s">
        <v>36</v>
      </c>
      <c r="I42" s="12">
        <f>D8*(1 - I41)</f>
        <v>4782.022863</v>
      </c>
    </row>
    <row r="44">
      <c r="C44" s="17"/>
      <c r="D44" s="20"/>
      <c r="H44" s="17"/>
      <c r="I44" s="20"/>
    </row>
    <row r="48">
      <c r="D48" s="18"/>
      <c r="I48" s="18"/>
    </row>
    <row r="49">
      <c r="D49" s="18"/>
      <c r="I49" s="18"/>
    </row>
    <row r="53">
      <c r="C53" s="17"/>
      <c r="H53" s="17"/>
    </row>
    <row r="54">
      <c r="D54" s="19"/>
      <c r="I54" s="19"/>
    </row>
    <row r="55">
      <c r="D55" s="19"/>
      <c r="I55" s="19"/>
    </row>
  </sheetData>
  <conditionalFormatting sqref="I31">
    <cfRule type="expression" dxfId="0" priority="1">
      <formula>I31 &gt; G4</formula>
    </cfRule>
  </conditionalFormatting>
  <conditionalFormatting sqref="I34">
    <cfRule type="expression" dxfId="0" priority="2">
      <formula>I34 &lt; G5</formula>
    </cfRule>
  </conditionalFormatting>
  <conditionalFormatting sqref="O34 D59">
    <cfRule type="expression" dxfId="0" priority="3">
      <formula>O34 &lt; G5</formula>
    </cfRule>
  </conditionalFormatting>
  <conditionalFormatting sqref="I31">
    <cfRule type="expression" dxfId="1" priority="4">
      <formula>I31 &lt;= G4</formula>
    </cfRule>
  </conditionalFormatting>
  <conditionalFormatting sqref="I34">
    <cfRule type="expression" dxfId="1" priority="5">
      <formula>I34 &gt;= G5</formula>
    </cfRule>
  </conditionalFormatting>
  <conditionalFormatting sqref="O34 D59">
    <cfRule type="expression" dxfId="1" priority="6">
      <formula>O34 &gt;= G5</formula>
    </cfRule>
  </conditionalFormatting>
  <conditionalFormatting sqref="O31">
    <cfRule type="expression" dxfId="1" priority="7">
      <formula>O31 &lt; G4</formula>
    </cfRule>
  </conditionalFormatting>
  <conditionalFormatting sqref="O31">
    <cfRule type="expression" dxfId="0" priority="8">
      <formula>O31 &gt;= G4</formula>
    </cfRule>
  </conditionalFormatting>
  <conditionalFormatting sqref="D31">
    <cfRule type="expression" dxfId="1" priority="9">
      <formula>D31 &lt; G4</formula>
    </cfRule>
  </conditionalFormatting>
  <conditionalFormatting sqref="D31">
    <cfRule type="expression" dxfId="0" priority="10">
      <formula>D31 &gt;= G4</formula>
    </cfRule>
  </conditionalFormatting>
  <conditionalFormatting sqref="D34">
    <cfRule type="expression" dxfId="0" priority="11">
      <formula>D34 &lt; G5</formula>
    </cfRule>
  </conditionalFormatting>
  <conditionalFormatting sqref="D34">
    <cfRule type="expression" dxfId="1" priority="12">
      <formula>D34 &gt;= G5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19.13"/>
    <col customWidth="1" min="6" max="6" width="27.25"/>
  </cols>
  <sheetData>
    <row r="3">
      <c r="B3" s="1"/>
      <c r="C3" s="1" t="s">
        <v>0</v>
      </c>
      <c r="D3" s="1" t="s">
        <v>1</v>
      </c>
      <c r="E3" s="1"/>
      <c r="F3" s="2" t="s">
        <v>2</v>
      </c>
      <c r="G3" s="3">
        <f>0.25</f>
        <v>0.25</v>
      </c>
    </row>
    <row r="4">
      <c r="B4" s="24" t="s">
        <v>37</v>
      </c>
      <c r="C4" s="5">
        <v>150000.0</v>
      </c>
      <c r="D4" s="6">
        <f t="shared" ref="D4:D5" si="1">C4/12</f>
        <v>12500</v>
      </c>
      <c r="E4" s="6"/>
      <c r="F4" s="7" t="s">
        <v>4</v>
      </c>
      <c r="G4" s="3">
        <v>0.3</v>
      </c>
    </row>
    <row r="5">
      <c r="B5" s="24" t="s">
        <v>38</v>
      </c>
      <c r="C5" s="18">
        <v>125000.0</v>
      </c>
      <c r="D5" s="6">
        <f t="shared" si="1"/>
        <v>10416.66667</v>
      </c>
      <c r="E5" s="6"/>
      <c r="F5" s="10" t="s">
        <v>6</v>
      </c>
      <c r="G5" s="11">
        <v>9000.0</v>
      </c>
    </row>
    <row r="6">
      <c r="B6" s="2" t="s">
        <v>39</v>
      </c>
      <c r="C6" s="18">
        <f t="shared" ref="C6:C7" si="2">MIN(C4*0.18, 32500)</f>
        <v>27000</v>
      </c>
      <c r="F6" s="2" t="s">
        <v>8</v>
      </c>
      <c r="G6" s="13" t="b">
        <v>0</v>
      </c>
    </row>
    <row r="7">
      <c r="B7" s="2" t="s">
        <v>40</v>
      </c>
      <c r="C7" s="18">
        <f t="shared" si="2"/>
        <v>22500</v>
      </c>
      <c r="E7" s="6"/>
      <c r="F7" s="2" t="s">
        <v>41</v>
      </c>
      <c r="G7" s="2">
        <v>1.37</v>
      </c>
    </row>
    <row r="8">
      <c r="B8" s="2" t="s">
        <v>9</v>
      </c>
      <c r="C8" s="12">
        <f> 
(
  LET(
    income, C4,
    rrsp, C6,
    taxable, MAX(0, income - rrsp),
    fed_tax,
      IF(taxable&lt;=55867, taxable*0.15,
      IF(taxable&lt;=111733, 55867*0.15 + (taxable-55867)*0.205,
      IF(taxable&lt;=173205, 55867*0.15 + (111733-55867)*0.205 + (taxable-111733)*0.26,
      IF(taxable&lt;=246752, 55867*0.15 + (111733-55867)*0.205 + (173205-111733)*0.26 + (taxable-173205)*0.29,
      55867*0.15 + (111733-55867)*0.205 + (173205-111733)*0.26 + (246752-173205)*0.29 + (taxable-246752)*0.33)))),
    fed_credit, 15705*0.15,
    prov_tax,
      IF(taxable&lt;=47937, taxable*0.0506,
      IF(taxable&lt;=95875, 47937*0.0506 + (taxable-47937)*0.077,
      IF(taxable&lt;=110076, 47937*0.0506 + (95875-47937)*0.077 + (taxable-95875)*0.105,
      IF(taxable&lt;=133664, 47937*0.0506 + (95875-47937)*0.077 + (110076-95875)*0.105 + (taxable-110076)*0.1229,
      IF(taxable&lt;=181232, 47937*0.0506 + (95875-47937)*0.077 + (110076-95875)*0.105 + (133664-110076)*0.1229 + (taxable-133664)*0.147,
      47937*0.0506 + (95875-47937)*0.077 + (110076-95875)*0.105 + (133664-110076)*0.1229 + (181232-133664)*0.147 + (taxable-181232)*0.168))))),
    prov_credit, 11981*0.0506,
    cpp, MIN(MAX(income-3500,0),68500)*0.0595,
    ei, MIN(income,63200)*0.0166,
    fed_tax - fed_credit + prov_tax - prov_credit + cpp + ei
  )
)
+
(
  LET(
    income, C5,
    rrsp, C7,
    taxable, MAX(0, income - rrsp),
    fed_tax,
      IF(taxable&lt;=55867, taxable*0.15,
      IF(taxable&lt;=111733, 55867*0.15 + (taxable-55867)*0.205,
      IF(taxable&lt;=173205, 55867*0.15 + (111733-55867)*0.205 + (taxable-111733)*0.26,
      IF(taxable&lt;=246752, 55867*0.15 + (111733-55867)*0.205 + (173205-111733)*0.26 + (taxable-173205)*0.29,
      55867*0.15 + (111733-55867)*0.205 + (173205-111733)*0.26 + (246752-173205)*0.29 + (taxable-246752)*0.33)))),
    fed_credit, 15705*0.15,
    prov_tax,
      IF(taxable&lt;=47937, taxable*0.0506,
      IF(taxable&lt;=95875, 47937*0.0506 + (taxable-47937)*0.077,
      IF(taxable&lt;=110076, 47937*0.0506 + (95875-47937)*0.077 + (taxable-95875)*0.105,
      IF(taxable&lt;=133664, 47937*0.0506 + (95875-47937)*0.077 + (110076-95875)*0.105 + (taxable-110076)*0.1229,
      IF(taxable&lt;=181232, 47937*0.0506 + (95875-47937)*0.077 + (110076-95875)*0.105 + (133664-110076)*0.1229 + (taxable-133664)*0.147,
      47937*0.0506 + (95875-47937)*0.077 + (110076-95875)*0.105 + (133664-110076)*0.1229 + (181232-133664)*0.147 + (taxable-181232)*0.168))))),
    prov_credit, 11981*0.0506,
    cpp, MIN(MAX(income-3500,0),68500)*0.0595,
    ei, MIN(income,63200)*0.0166,
    fed_tax - fed_credit + prov_tax - prov_credit + cpp + ei
  )
)</f>
        <v>61036.3438</v>
      </c>
      <c r="E8" s="6"/>
      <c r="F8" s="6"/>
    </row>
    <row r="9">
      <c r="B9" s="17" t="s">
        <v>42</v>
      </c>
      <c r="C9" s="12">
        <f>C4+C5-C6-C7-C8</f>
        <v>164463.6562</v>
      </c>
      <c r="D9" s="12">
        <f t="shared" ref="D9:D10" si="3">C9/12</f>
        <v>13705.30468</v>
      </c>
    </row>
    <row r="10">
      <c r="B10" s="2" t="s">
        <v>11</v>
      </c>
      <c r="C10" s="12">
        <f>((C4+C5)*G3) - C6 - C7</f>
        <v>19250</v>
      </c>
      <c r="D10" s="12">
        <f t="shared" si="3"/>
        <v>1604.166667</v>
      </c>
    </row>
    <row r="14">
      <c r="B14" s="2" t="s">
        <v>43</v>
      </c>
    </row>
    <row r="15">
      <c r="D15" s="2" t="s">
        <v>15</v>
      </c>
      <c r="E15" s="2" t="s">
        <v>16</v>
      </c>
    </row>
    <row r="16">
      <c r="C16" s="17" t="s">
        <v>17</v>
      </c>
      <c r="D16" s="18">
        <v>1800000.0</v>
      </c>
    </row>
    <row r="17">
      <c r="C17" s="2" t="s">
        <v>44</v>
      </c>
      <c r="D17" s="18">
        <v>300000.0</v>
      </c>
      <c r="E17" s="19">
        <f>(D17 * G7)/D16</f>
        <v>0.2283333333</v>
      </c>
    </row>
    <row r="18">
      <c r="C18" s="2" t="s">
        <v>45</v>
      </c>
      <c r="D18" s="18">
        <v>375000.0</v>
      </c>
      <c r="E18" s="19">
        <f>(D18*G7)/D16</f>
        <v>0.2854166667</v>
      </c>
    </row>
    <row r="20">
      <c r="C20" s="2" t="s">
        <v>20</v>
      </c>
      <c r="D20" s="12">
        <f>D16-(D17*G7)-(D18*G7)</f>
        <v>875250</v>
      </c>
    </row>
    <row r="21">
      <c r="C21" s="17" t="s">
        <v>21</v>
      </c>
      <c r="D21" s="21">
        <v>0.04</v>
      </c>
    </row>
    <row r="22">
      <c r="C22" s="2" t="s">
        <v>22</v>
      </c>
      <c r="D22" s="22">
        <f>30 * 12</f>
        <v>360</v>
      </c>
    </row>
    <row r="24">
      <c r="C24" s="2" t="s">
        <v>23</v>
      </c>
      <c r="D24" s="23">
        <f>PMT(D21/12, 30*12, -D20)</f>
        <v>4178.577374</v>
      </c>
    </row>
    <row r="25">
      <c r="C25" s="2" t="s">
        <v>24</v>
      </c>
      <c r="D25" s="18">
        <v>484.0</v>
      </c>
    </row>
    <row r="26">
      <c r="C26" s="2" t="s">
        <v>25</v>
      </c>
      <c r="D26" s="18">
        <v>200.0</v>
      </c>
    </row>
    <row r="28">
      <c r="C28" s="2" t="s">
        <v>27</v>
      </c>
      <c r="D28" s="23">
        <f t="array" ref="D28">SUM(PPMT(D21/12, SEQUENCE(60, 1, 1, 1), D22, -D20))/60</f>
        <v>1393.469021</v>
      </c>
    </row>
    <row r="30">
      <c r="C30" s="17" t="s">
        <v>28</v>
      </c>
      <c r="D30" s="23">
        <f>SUM(D24:D26)</f>
        <v>4862.577374</v>
      </c>
    </row>
    <row r="31">
      <c r="B31" s="2"/>
      <c r="C31" s="2" t="s">
        <v>29</v>
      </c>
      <c r="D31" s="19">
        <f>D30/(D4+D5)</f>
        <v>0.2121851945</v>
      </c>
    </row>
    <row r="32">
      <c r="C32" s="2" t="s">
        <v>30</v>
      </c>
      <c r="D32" s="19">
        <f>D30/D9</f>
        <v>0.3547952772</v>
      </c>
    </row>
    <row r="34">
      <c r="C34" s="2" t="s">
        <v>31</v>
      </c>
      <c r="D34" s="12">
        <f>D9-D30-IF(G6 = TRUE , D10 - D28, D10)</f>
        <v>7238.560643</v>
      </c>
    </row>
    <row r="37">
      <c r="C37" s="2" t="s">
        <v>32</v>
      </c>
      <c r="D37" s="12">
        <f>D16*0.005</f>
        <v>9000</v>
      </c>
    </row>
    <row r="38">
      <c r="C38" s="2" t="s">
        <v>33</v>
      </c>
      <c r="D38" s="18">
        <v>600.0</v>
      </c>
    </row>
    <row r="39">
      <c r="C39" s="2" t="s">
        <v>34</v>
      </c>
      <c r="D39" s="18">
        <v>1500.0</v>
      </c>
    </row>
    <row r="41">
      <c r="C41" s="2" t="s">
        <v>35</v>
      </c>
      <c r="D41" s="19">
        <f>(D38+D39+(D37/12) + D30 + D10) / D9</f>
        <v>0.6797910922</v>
      </c>
    </row>
    <row r="42">
      <c r="C42" s="2" t="s">
        <v>36</v>
      </c>
      <c r="D42" s="12">
        <f>D9*(1 - D41)</f>
        <v>4388.560643</v>
      </c>
    </row>
  </sheetData>
  <conditionalFormatting sqref="D31">
    <cfRule type="expression" dxfId="1" priority="1">
      <formula>D31 &lt; G4</formula>
    </cfRule>
  </conditionalFormatting>
  <conditionalFormatting sqref="D31">
    <cfRule type="expression" dxfId="0" priority="2">
      <formula>D31 &gt;= G4</formula>
    </cfRule>
  </conditionalFormatting>
  <conditionalFormatting sqref="D34">
    <cfRule type="expression" dxfId="0" priority="3">
      <formula>D34 &lt; G5</formula>
    </cfRule>
  </conditionalFormatting>
  <conditionalFormatting sqref="D34">
    <cfRule type="expression" dxfId="1" priority="4">
      <formula>D34 &gt;= G5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16.25"/>
    <col customWidth="1" min="6" max="6" width="27.13"/>
  </cols>
  <sheetData>
    <row r="3">
      <c r="B3" s="1"/>
      <c r="C3" s="1" t="s">
        <v>0</v>
      </c>
      <c r="D3" s="1" t="s">
        <v>1</v>
      </c>
      <c r="E3" s="1"/>
      <c r="F3" s="2" t="s">
        <v>2</v>
      </c>
      <c r="G3" s="3">
        <f>0.25</f>
        <v>0.25</v>
      </c>
    </row>
    <row r="4">
      <c r="B4" s="4" t="s">
        <v>3</v>
      </c>
      <c r="C4" s="5">
        <v>250000.0</v>
      </c>
      <c r="D4" s="6">
        <f>C4/12</f>
        <v>20833.33333</v>
      </c>
      <c r="E4" s="6"/>
      <c r="F4" s="7" t="s">
        <v>4</v>
      </c>
      <c r="G4" s="3">
        <v>0.3</v>
      </c>
    </row>
    <row r="5">
      <c r="B5" s="8" t="s">
        <v>5</v>
      </c>
      <c r="C5" s="9">
        <f>47000</f>
        <v>47000</v>
      </c>
      <c r="D5" s="9"/>
      <c r="E5" s="6"/>
      <c r="F5" s="10" t="s">
        <v>6</v>
      </c>
      <c r="G5" s="11">
        <v>9000.0</v>
      </c>
    </row>
    <row r="6">
      <c r="B6" s="2" t="s">
        <v>7</v>
      </c>
      <c r="C6" s="12">
        <f>C4-C5-27700</f>
        <v>175300</v>
      </c>
      <c r="F6" s="2" t="s">
        <v>8</v>
      </c>
      <c r="G6" s="13" t="b">
        <v>0</v>
      </c>
    </row>
    <row r="7">
      <c r="B7" s="2" t="s">
        <v>46</v>
      </c>
      <c r="C7" s="12">
        <f> IF(C6 &lt;= D6, 0,
  IF(C6 - D6 &lt;= 8600, (C6 - D6) * 0.0475,
  IF(C6 - D6 &lt;= 21500,
     8600 * 0.0475 + (C6 - D6 - 8600) * 0.0675,
  IF(C6 - D6 &lt;= 250000,
     8600 * 0.0475 + (21500 - 8600) * 0.0675 + (C6 - D6 - 21500) * 0.0875,
     8600 * 0.0475 + (21500 - 8600) * 0.0675 + (250000 - 21500) * 0.0875 + (C6 - D6 - 250000) * 0.099)))
)
+ MIN(C6,160200) * 0.062 + C6 * 0.0145 + IF(C6 &gt; 250000, (C6 - 250000) * 0.009, 0)</f>
        <v>27211</v>
      </c>
      <c r="D7" s="9"/>
      <c r="E7" s="6"/>
      <c r="F7" s="1"/>
    </row>
    <row r="8">
      <c r="B8" s="10" t="s">
        <v>47</v>
      </c>
      <c r="C8" s="9">
        <f>(IF(C6 &lt;= 22000, C6*0.1,
 IF(C6 &lt;= 89450, 22000*0.1 + (C6-22000)*0.12,
 IF(C6 &lt;= 190750, 22000*0.1 + (89450-22000)*0.12 + (C6-89450)*0.22,
 IF(C6 &lt;= 364200, 22000*0.1 + (89450-22000)*0.12 + (190750-89450)*0.22 + (C6-190750)*0.24,
 IF(C6 &lt;= 462500, 22000*0.1 + (89450-22000)*0.12 + (190750-89450)*0.22 + (364200-190750)*0.24 + (C6-364200)*0.32,
 IF(C6 &lt;= 693750, 22000*0.1 + (89450-22000)*0.12 + (190750-89450)*0.22 + (364200-190750)*0.24 + (462500-364200)*0.32 + (C6-462500)*0.35,
 22000*0.1 + (89450-22000)*0.12 + (190750-89450)*0.22 + (364200-190750)*0.24 + (462500-364200)*0.32 + (693750-462500)*0.35 + (C6-693750)*0.37))))))) + MIN(C6, 160200)*0.062 + C6*0.0145 + IF(C6 &gt; 250000, (C6-250000)*0.009, 0) - IF(C7 &gt; 10000, 10000, C7)</f>
        <v>31655.25</v>
      </c>
      <c r="E8" s="6"/>
      <c r="F8" s="6"/>
    </row>
    <row r="9">
      <c r="B9" s="14" t="s">
        <v>10</v>
      </c>
      <c r="C9" s="9">
        <f>C4-C5-C8-C7</f>
        <v>144133.75</v>
      </c>
      <c r="D9" s="9">
        <f t="shared" ref="D9:D10" si="1">C9/12</f>
        <v>12011.14583</v>
      </c>
    </row>
    <row r="10">
      <c r="B10" s="2" t="s">
        <v>11</v>
      </c>
      <c r="C10" s="12">
        <f>(C4*G3) - C5</f>
        <v>15500</v>
      </c>
      <c r="D10" s="12">
        <f t="shared" si="1"/>
        <v>1291.666667</v>
      </c>
    </row>
    <row r="14">
      <c r="B14" s="2" t="s">
        <v>48</v>
      </c>
    </row>
    <row r="15">
      <c r="D15" s="2" t="s">
        <v>15</v>
      </c>
      <c r="E15" s="2" t="s">
        <v>16</v>
      </c>
    </row>
    <row r="16">
      <c r="C16" s="17" t="s">
        <v>17</v>
      </c>
      <c r="D16" s="18">
        <v>1250000.0</v>
      </c>
    </row>
    <row r="17">
      <c r="C17" s="2" t="s">
        <v>18</v>
      </c>
      <c r="D17" s="18">
        <v>300000.0</v>
      </c>
      <c r="E17" s="19">
        <f>D17/D16</f>
        <v>0.24</v>
      </c>
    </row>
    <row r="18">
      <c r="C18" s="2" t="s">
        <v>19</v>
      </c>
      <c r="D18" s="18">
        <v>200000.0</v>
      </c>
      <c r="E18" s="19">
        <f>D18/D16</f>
        <v>0.16</v>
      </c>
    </row>
    <row r="20">
      <c r="C20" s="2" t="s">
        <v>20</v>
      </c>
      <c r="D20" s="12">
        <f>D16-D17-D18</f>
        <v>750000</v>
      </c>
    </row>
    <row r="21">
      <c r="C21" s="17" t="s">
        <v>21</v>
      </c>
      <c r="D21" s="21">
        <v>0.0637</v>
      </c>
    </row>
    <row r="22">
      <c r="C22" s="2" t="s">
        <v>22</v>
      </c>
      <c r="D22" s="22">
        <f>30 * 12</f>
        <v>360</v>
      </c>
    </row>
    <row r="24">
      <c r="C24" s="2" t="s">
        <v>23</v>
      </c>
      <c r="D24" s="23">
        <f>PMT(D21/12, 30*12, -D20)</f>
        <v>4676.57186</v>
      </c>
    </row>
    <row r="25">
      <c r="C25" s="2" t="s">
        <v>24</v>
      </c>
      <c r="D25" s="18">
        <v>795.0</v>
      </c>
    </row>
    <row r="26">
      <c r="C26" s="2" t="s">
        <v>25</v>
      </c>
      <c r="D26" s="18">
        <v>316.0</v>
      </c>
    </row>
    <row r="28">
      <c r="C28" s="2" t="s">
        <v>27</v>
      </c>
      <c r="D28" s="23">
        <f t="array" ref="D28">SUM(PPMT(D21/12, SEQUENCE(60, 1, 1, 1), D22, -D20))/60</f>
        <v>816.2790317</v>
      </c>
    </row>
    <row r="30">
      <c r="C30" s="17" t="s">
        <v>28</v>
      </c>
      <c r="D30" s="23">
        <f>SUM(D24:D26)</f>
        <v>5787.57186</v>
      </c>
    </row>
    <row r="31">
      <c r="B31" s="2"/>
      <c r="C31" s="2" t="s">
        <v>29</v>
      </c>
      <c r="D31" s="19">
        <f>D30/D4</f>
        <v>0.2778034493</v>
      </c>
    </row>
    <row r="32">
      <c r="C32" s="2" t="s">
        <v>30</v>
      </c>
      <c r="D32" s="19">
        <f>D30/D9</f>
        <v>0.4818501032</v>
      </c>
    </row>
    <row r="34">
      <c r="C34" s="2" t="s">
        <v>31</v>
      </c>
      <c r="D34" s="12">
        <f>D9-D30-IF(G6 = TRUE , D10 - D28, D10)</f>
        <v>4931.907307</v>
      </c>
    </row>
    <row r="37">
      <c r="C37" s="2" t="s">
        <v>32</v>
      </c>
      <c r="D37" s="12">
        <f>D16*0.005</f>
        <v>6250</v>
      </c>
    </row>
    <row r="38">
      <c r="C38" s="2" t="s">
        <v>33</v>
      </c>
      <c r="D38" s="18">
        <v>600.0</v>
      </c>
    </row>
    <row r="39">
      <c r="C39" s="2" t="s">
        <v>34</v>
      </c>
      <c r="D39" s="18">
        <v>1500.0</v>
      </c>
    </row>
    <row r="41">
      <c r="C41" s="2" t="s">
        <v>35</v>
      </c>
      <c r="D41" s="19">
        <f>(D38+D39+(D37/12) + D30 + D10) / D9</f>
        <v>0.8075892171</v>
      </c>
    </row>
    <row r="42">
      <c r="C42" s="2" t="s">
        <v>36</v>
      </c>
      <c r="D42" s="12">
        <f>D9*(1 - D41)</f>
        <v>2311.073974</v>
      </c>
    </row>
  </sheetData>
  <conditionalFormatting sqref="D31">
    <cfRule type="expression" dxfId="1" priority="1">
      <formula>D31 &lt; G4</formula>
    </cfRule>
  </conditionalFormatting>
  <conditionalFormatting sqref="D31">
    <cfRule type="expression" dxfId="0" priority="2">
      <formula>D31 &gt;= G4</formula>
    </cfRule>
  </conditionalFormatting>
  <conditionalFormatting sqref="D34">
    <cfRule type="expression" dxfId="0" priority="3">
      <formula>D34 &lt; G5</formula>
    </cfRule>
  </conditionalFormatting>
  <conditionalFormatting sqref="D34">
    <cfRule type="expression" dxfId="1" priority="4">
      <formula>D34 &gt;= G5</formula>
    </cfRule>
  </conditionalFormatting>
  <drawing r:id="rId2"/>
  <legacyDrawing r:id="rId3"/>
</worksheet>
</file>